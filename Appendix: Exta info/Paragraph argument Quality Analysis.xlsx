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iadician/Desktop/"/>
    </mc:Choice>
  </mc:AlternateContent>
  <xr:revisionPtr revIDLastSave="0" documentId="8_{FCFE4432-E7D4-DA41-BD6D-063A40B05705}" xr6:coauthVersionLast="47" xr6:coauthVersionMax="47" xr10:uidLastSave="{00000000-0000-0000-0000-000000000000}"/>
  <bookViews>
    <workbookView xWindow="0" yWindow="780" windowWidth="34200" windowHeight="20060" xr2:uid="{00000000-000D-0000-FFFF-FFFF00000000}"/>
  </bookViews>
  <sheets>
    <sheet name="Raw Data" sheetId="1" r:id="rId1"/>
    <sheet name="Modality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K13" i="1"/>
  <c r="G13" i="1"/>
  <c r="L12" i="1"/>
  <c r="K12" i="1"/>
  <c r="G12" i="1"/>
  <c r="L11" i="1"/>
  <c r="K11" i="1"/>
  <c r="G11" i="1"/>
  <c r="L10" i="1"/>
  <c r="K10" i="1"/>
  <c r="G10" i="1"/>
  <c r="L9" i="1"/>
  <c r="K9" i="1"/>
  <c r="G9" i="1"/>
  <c r="L8" i="1"/>
  <c r="K8" i="1"/>
  <c r="G8" i="1"/>
  <c r="L7" i="1"/>
  <c r="K7" i="1"/>
  <c r="G7" i="1"/>
  <c r="L6" i="1"/>
  <c r="K6" i="1"/>
  <c r="G6" i="1"/>
  <c r="L5" i="1"/>
  <c r="K5" i="1"/>
  <c r="G5" i="1"/>
</calcChain>
</file>

<file path=xl/sharedStrings.xml><?xml version="1.0" encoding="utf-8"?>
<sst xmlns="http://schemas.openxmlformats.org/spreadsheetml/2006/main" count="49" uniqueCount="35">
  <si>
    <t>DEBATOR APP — Pre vs Post Assessment Results</t>
  </si>
  <si>
    <t>Human Grader Scores vs AI Grader Scores  |  Max score per essay: 25  (Claim 5 + Evidence 5 + Warrant 5 + Counter 5 + Persuasiveness 5)</t>
  </si>
  <si>
    <t>HUMAN GRADER</t>
  </si>
  <si>
    <t>AI GRADER</t>
  </si>
  <si>
    <t>P#</t>
  </si>
  <si>
    <t>Modality</t>
  </si>
  <si>
    <t>Topic</t>
  </si>
  <si>
    <t>Pre</t>
  </si>
  <si>
    <t>Post</t>
  </si>
  <si>
    <t>Δ</t>
  </si>
  <si>
    <t>% Gain</t>
  </si>
  <si>
    <t>Grader Agreement</t>
  </si>
  <si>
    <t>Text</t>
  </si>
  <si>
    <t>Social media: harm or good?</t>
  </si>
  <si>
    <t>1 friend vs 100 friends?</t>
  </si>
  <si>
    <t>Should billionaires exist?</t>
  </si>
  <si>
    <t>Audio</t>
  </si>
  <si>
    <t>1 best friend vs 100 average friends?</t>
  </si>
  <si>
    <t>Parthenon Marbles return?</t>
  </si>
  <si>
    <t>Hippo: best land mammal in a fight?</t>
  </si>
  <si>
    <t>Multimodal</t>
  </si>
  <si>
    <t>Online vs in-person learning?</t>
  </si>
  <si>
    <t>US ambitions over Greenland?</t>
  </si>
  <si>
    <t>Hippo neurogenesis &amp; depression?</t>
  </si>
  <si>
    <t>Performance by Modality — Mean Scores &amp; Gains</t>
  </si>
  <si>
    <t>n</t>
  </si>
  <si>
    <t>Pre Human</t>
  </si>
  <si>
    <t>Post Human</t>
  </si>
  <si>
    <t>Δ Human</t>
  </si>
  <si>
    <t>Pre LLM</t>
  </si>
  <si>
    <t>Post LLM</t>
  </si>
  <si>
    <t>Δ LLM</t>
  </si>
  <si>
    <t>Human vs LLM Pre</t>
  </si>
  <si>
    <t>Human vs LLM Post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</si>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</sst>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4A4A4A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4A4A4A"/>
      <name val="Arial"/>
    </font>
    <font>
      <sz val="10"/>
      <color rgb="FF4A4A4A"/>
      <name val="Arial"/>
    </font>
    <font>
      <b/>
      <sz val="10"/>
      <color rgb="FF1A5276"/>
      <name val="Arial"/>
    </font>
    <font>
      <b/>
      <sz val="10"/>
      <color rgb="FF922B21"/>
      <name val="Arial"/>
    </font>
    <font>
      <b/>
      <sz val="15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17A589"/>
      </patternFill>
    </fill>
    <fill>
      <patternFill patternType="solid">
        <fgColor rgb="FFF0B429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3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tabSelected="1" workbookViewId="0">
      <selection sqref="A1:L1"/>
    </sheetView>
  </sheetViews>
  <sheetFormatPr baseColWidth="10" defaultColWidth="8.83203125" defaultRowHeight="15" x14ac:dyDescent="0.2"/>
  <cols>
    <col min="1" max="1" width="5" customWidth="1"/>
    <col min="2" max="2" width="12" customWidth="1"/>
    <col min="3" max="3" width="42" customWidth="1"/>
    <col min="4" max="6" width="7" customWidth="1"/>
    <col min="7" max="7" width="9" customWidth="1"/>
    <col min="8" max="10" width="7" customWidth="1"/>
    <col min="11" max="11" width="9" customWidth="1"/>
    <col min="12" max="12" width="16" customWidth="1"/>
  </cols>
  <sheetData>
    <row r="1" spans="1:12" ht="36" customHeight="1" x14ac:dyDescent="0.2">
      <c r="A1" s="24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2" customHeight="1" x14ac:dyDescent="0.2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x14ac:dyDescent="0.2">
      <c r="D3" s="25" t="s">
        <v>2</v>
      </c>
      <c r="E3" s="22"/>
      <c r="F3" s="22"/>
      <c r="G3" s="22"/>
      <c r="H3" s="23" t="s">
        <v>3</v>
      </c>
      <c r="I3" s="22"/>
      <c r="J3" s="22"/>
      <c r="K3" s="22"/>
    </row>
    <row r="4" spans="1:12" ht="28" customHeight="1" x14ac:dyDescent="0.2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3" t="s">
        <v>7</v>
      </c>
      <c r="I4" s="3" t="s">
        <v>8</v>
      </c>
      <c r="J4" s="3" t="s">
        <v>9</v>
      </c>
      <c r="K4" s="3" t="s">
        <v>10</v>
      </c>
      <c r="L4" s="4" t="s">
        <v>11</v>
      </c>
    </row>
    <row r="5" spans="1:12" ht="22" customHeight="1" x14ac:dyDescent="0.2">
      <c r="A5" s="5">
        <v>1</v>
      </c>
      <c r="B5" s="6" t="s">
        <v>12</v>
      </c>
      <c r="C5" s="7" t="s">
        <v>13</v>
      </c>
      <c r="D5" s="6">
        <v>18</v>
      </c>
      <c r="E5" s="6">
        <v>19</v>
      </c>
      <c r="F5" s="8">
        <v>1</v>
      </c>
      <c r="G5" s="9">
        <f t="shared" ref="G5:G13" si="0">E5/D5-1</f>
        <v>5.555555555555558E-2</v>
      </c>
      <c r="H5" s="6">
        <v>16</v>
      </c>
      <c r="I5" s="6">
        <v>17</v>
      </c>
      <c r="J5" s="8">
        <v>1</v>
      </c>
      <c r="K5" s="9">
        <f t="shared" ref="K5:K13" si="1">I5/H5-1</f>
        <v>6.25E-2</v>
      </c>
      <c r="L5" s="6" t="str">
        <f t="shared" ref="L5:L13" si="2">IF(ABS(D5-H5)&lt;=2,"Close",IF(ABS(D5-H5)&lt;=4,"Moderate Gap","Large Gap"))</f>
        <v>Close</v>
      </c>
    </row>
    <row r="6" spans="1:12" ht="22" customHeight="1" x14ac:dyDescent="0.2">
      <c r="A6" s="10">
        <v>2</v>
      </c>
      <c r="B6" s="11" t="s">
        <v>12</v>
      </c>
      <c r="C6" s="12" t="s">
        <v>14</v>
      </c>
      <c r="D6" s="11">
        <v>21</v>
      </c>
      <c r="E6" s="11">
        <v>25</v>
      </c>
      <c r="F6" s="13">
        <v>4</v>
      </c>
      <c r="G6" s="14">
        <f t="shared" si="0"/>
        <v>0.19047619047619047</v>
      </c>
      <c r="H6" s="11">
        <v>24</v>
      </c>
      <c r="I6" s="11">
        <v>24</v>
      </c>
      <c r="J6" s="15">
        <v>0</v>
      </c>
      <c r="K6" s="14">
        <f t="shared" si="1"/>
        <v>0</v>
      </c>
      <c r="L6" s="11" t="str">
        <f t="shared" si="2"/>
        <v>Moderate Gap</v>
      </c>
    </row>
    <row r="7" spans="1:12" ht="22" customHeight="1" x14ac:dyDescent="0.2">
      <c r="A7" s="5">
        <v>3</v>
      </c>
      <c r="B7" s="6" t="s">
        <v>12</v>
      </c>
      <c r="C7" s="7" t="s">
        <v>15</v>
      </c>
      <c r="D7" s="6">
        <v>19</v>
      </c>
      <c r="E7" s="6">
        <v>22</v>
      </c>
      <c r="F7" s="8">
        <v>3</v>
      </c>
      <c r="G7" s="9">
        <f t="shared" si="0"/>
        <v>0.15789473684210531</v>
      </c>
      <c r="H7" s="6">
        <v>14</v>
      </c>
      <c r="I7" s="6">
        <v>20</v>
      </c>
      <c r="J7" s="8">
        <v>6</v>
      </c>
      <c r="K7" s="9">
        <f t="shared" si="1"/>
        <v>0.4285714285714286</v>
      </c>
      <c r="L7" s="6" t="str">
        <f t="shared" si="2"/>
        <v>Large Gap</v>
      </c>
    </row>
    <row r="8" spans="1:12" ht="22" customHeight="1" x14ac:dyDescent="0.2">
      <c r="A8" s="10">
        <v>4</v>
      </c>
      <c r="B8" s="11" t="s">
        <v>16</v>
      </c>
      <c r="C8" s="12" t="s">
        <v>17</v>
      </c>
      <c r="D8" s="11">
        <v>20</v>
      </c>
      <c r="E8" s="11">
        <v>22</v>
      </c>
      <c r="F8" s="13">
        <v>2</v>
      </c>
      <c r="G8" s="14">
        <f t="shared" si="0"/>
        <v>0.10000000000000009</v>
      </c>
      <c r="H8" s="11">
        <v>20</v>
      </c>
      <c r="I8" s="11">
        <v>23</v>
      </c>
      <c r="J8" s="13">
        <v>3</v>
      </c>
      <c r="K8" s="14">
        <f t="shared" si="1"/>
        <v>0.14999999999999991</v>
      </c>
      <c r="L8" s="11" t="str">
        <f t="shared" si="2"/>
        <v>Close</v>
      </c>
    </row>
    <row r="9" spans="1:12" ht="22" customHeight="1" x14ac:dyDescent="0.2">
      <c r="A9" s="5">
        <v>5</v>
      </c>
      <c r="B9" s="6" t="s">
        <v>16</v>
      </c>
      <c r="C9" s="7" t="s">
        <v>18</v>
      </c>
      <c r="D9" s="6">
        <v>18</v>
      </c>
      <c r="E9" s="6">
        <v>22</v>
      </c>
      <c r="F9" s="8">
        <v>4</v>
      </c>
      <c r="G9" s="9">
        <f t="shared" si="0"/>
        <v>0.22222222222222232</v>
      </c>
      <c r="H9" s="6">
        <v>23</v>
      </c>
      <c r="I9" s="6">
        <v>25</v>
      </c>
      <c r="J9" s="8">
        <v>2</v>
      </c>
      <c r="K9" s="9">
        <f t="shared" si="1"/>
        <v>8.6956521739130377E-2</v>
      </c>
      <c r="L9" s="6" t="str">
        <f t="shared" si="2"/>
        <v>Large Gap</v>
      </c>
    </row>
    <row r="10" spans="1:12" ht="22" customHeight="1" x14ac:dyDescent="0.2">
      <c r="A10" s="10">
        <v>6</v>
      </c>
      <c r="B10" s="11" t="s">
        <v>16</v>
      </c>
      <c r="C10" s="12" t="s">
        <v>19</v>
      </c>
      <c r="D10" s="11">
        <v>18</v>
      </c>
      <c r="E10" s="11">
        <v>22</v>
      </c>
      <c r="F10" s="13">
        <v>4</v>
      </c>
      <c r="G10" s="14">
        <f t="shared" si="0"/>
        <v>0.22222222222222232</v>
      </c>
      <c r="H10" s="11">
        <v>21</v>
      </c>
      <c r="I10" s="11">
        <v>24</v>
      </c>
      <c r="J10" s="13">
        <v>3</v>
      </c>
      <c r="K10" s="14">
        <f t="shared" si="1"/>
        <v>0.14285714285714279</v>
      </c>
      <c r="L10" s="11" t="str">
        <f t="shared" si="2"/>
        <v>Moderate Gap</v>
      </c>
    </row>
    <row r="11" spans="1:12" ht="22" customHeight="1" x14ac:dyDescent="0.2">
      <c r="A11" s="5">
        <v>7</v>
      </c>
      <c r="B11" s="6" t="s">
        <v>20</v>
      </c>
      <c r="C11" s="7" t="s">
        <v>21</v>
      </c>
      <c r="D11" s="6">
        <v>16</v>
      </c>
      <c r="E11" s="6">
        <v>19</v>
      </c>
      <c r="F11" s="8">
        <v>3</v>
      </c>
      <c r="G11" s="9">
        <f t="shared" si="0"/>
        <v>0.1875</v>
      </c>
      <c r="H11" s="6">
        <v>24</v>
      </c>
      <c r="I11" s="6">
        <v>23</v>
      </c>
      <c r="J11" s="16">
        <v>-1</v>
      </c>
      <c r="K11" s="9">
        <f t="shared" si="1"/>
        <v>-4.166666666666663E-2</v>
      </c>
      <c r="L11" s="6" t="str">
        <f t="shared" si="2"/>
        <v>Large Gap</v>
      </c>
    </row>
    <row r="12" spans="1:12" ht="22" customHeight="1" x14ac:dyDescent="0.2">
      <c r="A12" s="10">
        <v>8</v>
      </c>
      <c r="B12" s="11" t="s">
        <v>20</v>
      </c>
      <c r="C12" s="12" t="s">
        <v>22</v>
      </c>
      <c r="D12" s="11">
        <v>17</v>
      </c>
      <c r="E12" s="11">
        <v>23</v>
      </c>
      <c r="F12" s="13">
        <v>6</v>
      </c>
      <c r="G12" s="14">
        <f t="shared" si="0"/>
        <v>0.35294117647058831</v>
      </c>
      <c r="H12" s="11">
        <v>13</v>
      </c>
      <c r="I12" s="11">
        <v>22</v>
      </c>
      <c r="J12" s="13">
        <v>9</v>
      </c>
      <c r="K12" s="14">
        <f t="shared" si="1"/>
        <v>0.69230769230769229</v>
      </c>
      <c r="L12" s="11" t="str">
        <f t="shared" si="2"/>
        <v>Moderate Gap</v>
      </c>
    </row>
    <row r="13" spans="1:12" ht="22" customHeight="1" x14ac:dyDescent="0.2">
      <c r="A13" s="5">
        <v>9</v>
      </c>
      <c r="B13" s="6" t="s">
        <v>20</v>
      </c>
      <c r="C13" s="7" t="s">
        <v>23</v>
      </c>
      <c r="D13" s="6">
        <v>17</v>
      </c>
      <c r="E13" s="6">
        <v>20</v>
      </c>
      <c r="F13" s="8">
        <v>3</v>
      </c>
      <c r="G13" s="9">
        <f t="shared" si="0"/>
        <v>0.17647058823529416</v>
      </c>
      <c r="H13" s="6">
        <v>19</v>
      </c>
      <c r="I13" s="6">
        <v>25</v>
      </c>
      <c r="J13" s="8">
        <v>6</v>
      </c>
      <c r="K13" s="9">
        <f t="shared" si="1"/>
        <v>0.31578947368421062</v>
      </c>
      <c r="L13" s="6" t="str">
        <f t="shared" si="2"/>
        <v>Close</v>
      </c>
    </row>
  </sheetData>
  <mergeCells count="4">
    <mergeCell ref="A2:L2"/>
    <mergeCell ref="H3:K3"/>
    <mergeCell ref="A1:L1"/>
    <mergeCell ref="D3:G3"/>
  </mergeCells>
  <conditionalFormatting sqref="D5:D13">
    <cfRule type="colorScale" priority="1">
      <colorScale>
        <cfvo type="min"/>
        <cfvo type="percentile" val="50"/>
        <cfvo type="max"/>
        <color rgb="FFFADBD8"/>
        <color rgb="FFFDFEFE"/>
        <color rgb="FFD5F5E3"/>
      </colorScale>
    </cfRule>
  </conditionalFormatting>
  <conditionalFormatting sqref="E5:E13">
    <cfRule type="colorScale" priority="2">
      <colorScale>
        <cfvo type="min"/>
        <cfvo type="percentile" val="50"/>
        <cfvo type="max"/>
        <color rgb="FFFADBD8"/>
        <color rgb="FFFDFEFE"/>
        <color rgb="FFD5F5E3"/>
      </colorScale>
    </cfRule>
  </conditionalFormatting>
  <conditionalFormatting sqref="H5:H13">
    <cfRule type="colorScale" priority="3">
      <colorScale>
        <cfvo type="min"/>
        <cfvo type="percentile" val="50"/>
        <cfvo type="max"/>
        <color rgb="FFFADBD8"/>
        <color rgb="FFFDFEFE"/>
        <color rgb="FFD5F5E3"/>
      </colorScale>
    </cfRule>
  </conditionalFormatting>
  <conditionalFormatting sqref="I5:I13">
    <cfRule type="colorScale" priority="4">
      <colorScale>
        <cfvo type="min"/>
        <cfvo type="percentile" val="50"/>
        <cfvo type="max"/>
        <color rgb="FFFADBD8"/>
        <color rgb="FFFDFEFE"/>
        <color rgb="FFD5F5E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showGridLines="0" workbookViewId="0">
      <selection sqref="A1:J1"/>
    </sheetView>
  </sheetViews>
  <sheetFormatPr baseColWidth="10" defaultColWidth="8.83203125" defaultRowHeight="15" x14ac:dyDescent="0.2"/>
  <cols>
    <col min="1" max="1" width="14" customWidth="1"/>
    <col min="2" max="2" width="6" customWidth="1"/>
    <col min="3" max="4" width="12" customWidth="1"/>
    <col min="5" max="5" width="10" customWidth="1"/>
    <col min="6" max="7" width="12" customWidth="1"/>
    <col min="8" max="8" width="10" customWidth="1"/>
    <col min="9" max="10" width="18" customWidth="1"/>
  </cols>
  <sheetData>
    <row r="1" spans="1:10" ht="36" customHeight="1" x14ac:dyDescent="0.2">
      <c r="A1" s="26" t="s">
        <v>24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8" customHeight="1" x14ac:dyDescent="0.2">
      <c r="A2" s="1" t="s">
        <v>5</v>
      </c>
      <c r="B2" s="1" t="s">
        <v>25</v>
      </c>
      <c r="C2" s="2" t="s">
        <v>26</v>
      </c>
      <c r="D2" s="2" t="s">
        <v>27</v>
      </c>
      <c r="E2" s="2" t="s">
        <v>28</v>
      </c>
      <c r="F2" s="3" t="s">
        <v>29</v>
      </c>
      <c r="G2" s="3" t="s">
        <v>30</v>
      </c>
      <c r="H2" s="3" t="s">
        <v>31</v>
      </c>
      <c r="I2" s="4" t="s">
        <v>32</v>
      </c>
      <c r="J2" s="4" t="s">
        <v>33</v>
      </c>
    </row>
    <row r="3" spans="1:10" ht="24" customHeight="1" x14ac:dyDescent="0.2">
      <c r="A3" s="17" t="s">
        <v>12</v>
      </c>
      <c r="B3" s="17">
        <v>3</v>
      </c>
      <c r="C3" s="17">
        <v>19.3</v>
      </c>
      <c r="D3" s="17">
        <v>22</v>
      </c>
      <c r="E3" s="18">
        <v>2.7</v>
      </c>
      <c r="F3" s="17">
        <v>18</v>
      </c>
      <c r="G3" s="17">
        <v>20.3</v>
      </c>
      <c r="H3" s="18">
        <v>2.2999999999999998</v>
      </c>
      <c r="I3" s="17">
        <v>1.3</v>
      </c>
      <c r="J3" s="17">
        <v>1.7</v>
      </c>
    </row>
    <row r="4" spans="1:10" ht="24" customHeight="1" x14ac:dyDescent="0.2">
      <c r="A4" s="6" t="s">
        <v>16</v>
      </c>
      <c r="B4" s="6">
        <v>3</v>
      </c>
      <c r="C4" s="6">
        <v>18.7</v>
      </c>
      <c r="D4" s="6">
        <v>22</v>
      </c>
      <c r="E4" s="8">
        <v>3.3</v>
      </c>
      <c r="F4" s="6">
        <v>21.3</v>
      </c>
      <c r="G4" s="6">
        <v>24</v>
      </c>
      <c r="H4" s="8">
        <v>2.7</v>
      </c>
      <c r="I4" s="6">
        <v>-2.6</v>
      </c>
      <c r="J4" s="6">
        <v>-2</v>
      </c>
    </row>
    <row r="5" spans="1:10" ht="24" customHeight="1" x14ac:dyDescent="0.2">
      <c r="A5" s="17" t="s">
        <v>20</v>
      </c>
      <c r="B5" s="17">
        <v>3</v>
      </c>
      <c r="C5" s="17">
        <v>16.7</v>
      </c>
      <c r="D5" s="17">
        <v>20.7</v>
      </c>
      <c r="E5" s="18">
        <v>4</v>
      </c>
      <c r="F5" s="17">
        <v>18.7</v>
      </c>
      <c r="G5" s="17">
        <v>23.3</v>
      </c>
      <c r="H5" s="18">
        <v>4.5999999999999996</v>
      </c>
      <c r="I5" s="17">
        <v>-2</v>
      </c>
      <c r="J5" s="17">
        <v>-2.6</v>
      </c>
    </row>
    <row r="6" spans="1:10" ht="24" customHeight="1" x14ac:dyDescent="0.2">
      <c r="A6" s="19" t="s">
        <v>34</v>
      </c>
      <c r="B6" s="19">
        <v>9</v>
      </c>
      <c r="C6" s="19">
        <v>18.2</v>
      </c>
      <c r="D6" s="19">
        <v>21.6</v>
      </c>
      <c r="E6" s="20">
        <v>3.4</v>
      </c>
      <c r="F6" s="19">
        <v>19.3</v>
      </c>
      <c r="G6" s="19">
        <v>22.6</v>
      </c>
      <c r="H6" s="20">
        <v>3.3</v>
      </c>
      <c r="I6" s="19">
        <v>-1.1000000000000001</v>
      </c>
      <c r="J6" s="19">
        <v>-1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Modality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I. Cian</cp:lastModifiedBy>
  <dcterms:created xsi:type="dcterms:W3CDTF">2026-02-23T16:51:27Z</dcterms:created>
  <dcterms:modified xsi:type="dcterms:W3CDTF">2026-03-01T01:21:54Z</dcterms:modified>
</cp:coreProperties>
</file>